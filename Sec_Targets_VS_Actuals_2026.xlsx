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859"/>
  </bookViews>
  <sheets>
    <sheet name="MDM Generel Targets template" sheetId="1" r:id="rId1"/>
    <sheet name="Focus pack targets" sheetId="4" r:id="rId2"/>
    <sheet name="Report template" sheetId="2" r:id="rId3"/>
    <sheet name="Secondary PBIS Suggested Templa" sheetId="5" r:id="rId4"/>
    <sheet name="Parameter (TN &amp; AP)" sheetId="6" r:id="rId5"/>
    <sheet name="Parameter_KN" sheetId="7" r:id="rId6"/>
  </sheets>
  <calcPr calcId="144525"/>
</workbook>
</file>

<file path=xl/calcChain.xml><?xml version="1.0" encoding="utf-8"?>
<calcChain xmlns="http://schemas.openxmlformats.org/spreadsheetml/2006/main">
  <c r="C14" i="7" l="1"/>
  <c r="C4" i="7"/>
</calcChain>
</file>

<file path=xl/sharedStrings.xml><?xml version="1.0" encoding="utf-8"?>
<sst xmlns="http://schemas.openxmlformats.org/spreadsheetml/2006/main" count="297" uniqueCount="210">
  <si>
    <t>SF User ID</t>
  </si>
  <si>
    <t>User name</t>
  </si>
  <si>
    <t>Saleschannel</t>
  </si>
  <si>
    <t>Year</t>
  </si>
  <si>
    <t>(In INR)</t>
  </si>
  <si>
    <t>Focus pack 1 Sku description per SF</t>
  </si>
  <si>
    <t>Focus Pack 1 Reveneue target</t>
  </si>
  <si>
    <t>Brownie</t>
  </si>
  <si>
    <t>(Unique Ordered outlets)</t>
  </si>
  <si>
    <t>USER-1362</t>
  </si>
  <si>
    <t>Tuhin Mondal</t>
  </si>
  <si>
    <t>NE</t>
  </si>
  <si>
    <t>Start Date</t>
  </si>
  <si>
    <t>End Date</t>
  </si>
  <si>
    <t>Focus pack 2 Sku description per SF</t>
  </si>
  <si>
    <t>Focus Pack 2 Reveneue target</t>
  </si>
  <si>
    <t>Focus pack 3 Sku description per SF</t>
  </si>
  <si>
    <t>Focus Pack 3 Reveneue target</t>
  </si>
  <si>
    <t>Focus pack 4 Sku description per SF</t>
  </si>
  <si>
    <t>Focus Pack 4 Reveneue target</t>
  </si>
  <si>
    <t>Focus pack 5 Sku description per SF</t>
  </si>
  <si>
    <t>Focus Pack 5 Reveneue target</t>
  </si>
  <si>
    <t>Focus pack 6 Sku description per SF</t>
  </si>
  <si>
    <t>Focus Pack 6 Reveneue target</t>
  </si>
  <si>
    <t>Cumulative Secondary Revenue target</t>
  </si>
  <si>
    <t>Cumulative UBO / ECO target</t>
  </si>
  <si>
    <t>Focus Pack 1 UBO / ECO target</t>
  </si>
  <si>
    <t>Focus Pack 2 ECO / UBO target</t>
  </si>
  <si>
    <t>Focus Pack 3 ECO / UBO target</t>
  </si>
  <si>
    <t>Focus Pack 4 ECO / UBO target</t>
  </si>
  <si>
    <t>Focus Pack 5 ECO / UBO target</t>
  </si>
  <si>
    <t>Focus Pack 6 ECO / UBO target</t>
  </si>
  <si>
    <t>Tgt TC per day</t>
  </si>
  <si>
    <t>Tgt PC Per day</t>
  </si>
  <si>
    <t>Average TLSD per day</t>
  </si>
  <si>
    <t>Cumulative Secondary Order Value</t>
  </si>
  <si>
    <t>Average LSD per day</t>
  </si>
  <si>
    <t>Focus Pack 1 Ttl sec order value</t>
  </si>
  <si>
    <t>Focus Pack 1 Unique ordered outlet count</t>
  </si>
  <si>
    <t>Focus Pack 2 Ttl sec order value</t>
  </si>
  <si>
    <t>Focus Pack 2 UBO / ECO target</t>
  </si>
  <si>
    <t>Focus Pack 2 Unique ordered outlet count</t>
  </si>
  <si>
    <t>Focus Pack 3 Ttl sec order value</t>
  </si>
  <si>
    <t>Focus Pack 3 UBO / ECO target</t>
  </si>
  <si>
    <t>Focus Pack 3 Unique ordered outlet count</t>
  </si>
  <si>
    <t>Mapped to DB Name</t>
  </si>
  <si>
    <t>Mapped to DB Primary sale revenue (INR)</t>
  </si>
  <si>
    <t>Mapped to DB SAP code</t>
  </si>
  <si>
    <t>Ttl Attendance count over the period</t>
  </si>
  <si>
    <t>Avg TC per day over the period of reference</t>
  </si>
  <si>
    <t>Avg PC per day over the period of reference</t>
  </si>
  <si>
    <t>Avg LSD Over the period of reference</t>
  </si>
  <si>
    <t>SF User ID + Start Date + End Date</t>
  </si>
  <si>
    <t>Cumulative UBO/ECO achd</t>
  </si>
  <si>
    <t>Focus pack 1 Group</t>
  </si>
  <si>
    <t>Focus pack 1 Sub Group</t>
  </si>
  <si>
    <t>Focus pack 1 Group Name</t>
  </si>
  <si>
    <t>Focus pack 1 Sub Group Name</t>
  </si>
  <si>
    <t>Focus pack 1 Sub group Name</t>
  </si>
  <si>
    <t>Focus Pack 1 Group Name</t>
  </si>
  <si>
    <t>Focus Pack 2 Group Name</t>
  </si>
  <si>
    <t>Focus pack 2 Sub group Name</t>
  </si>
  <si>
    <t>Focus Pack 3 Group Name</t>
  </si>
  <si>
    <t>Focus pack 3 Sub group Name</t>
  </si>
  <si>
    <t>Focus pack 2 Group Name</t>
  </si>
  <si>
    <t>Focus pack 2 Sub Group Name</t>
  </si>
  <si>
    <t>Focus pack 3 Group Name</t>
  </si>
  <si>
    <t>Focus pack 3 Sub Group Name</t>
  </si>
  <si>
    <t>Focus pack 4 Group Name</t>
  </si>
  <si>
    <t>Focus pack 4 Sub Group Name</t>
  </si>
  <si>
    <t>Focus Pack 4 UBO / ECO target</t>
  </si>
  <si>
    <t xml:space="preserve">There is no limit on focus pack count </t>
  </si>
  <si>
    <t>This sheet form the basis of Incentive calculation based on the PHIS set up MDM</t>
  </si>
  <si>
    <t>Value Achievement in %</t>
  </si>
  <si>
    <t>Order Value / Target</t>
  </si>
  <si>
    <t>Focus pack 1 Value Achievement in %</t>
  </si>
  <si>
    <t>order value / Target</t>
  </si>
  <si>
    <t>Focus pack 2 Value Achievement in %</t>
  </si>
  <si>
    <t>Focus pack 3 Value Achievement in %</t>
  </si>
  <si>
    <t>Slab</t>
  </si>
  <si>
    <t>Incentive amount</t>
  </si>
  <si>
    <t>TC</t>
  </si>
  <si>
    <t>PC</t>
  </si>
  <si>
    <t>Parameter 1</t>
  </si>
  <si>
    <t>&gt;=45</t>
  </si>
  <si>
    <t>Parameter 2</t>
  </si>
  <si>
    <t>&gt;=21</t>
  </si>
  <si>
    <t>Parameter 3</t>
  </si>
  <si>
    <t>TLSD</t>
  </si>
  <si>
    <t>&gt;=5</t>
  </si>
  <si>
    <t>Order Value</t>
  </si>
  <si>
    <t>&gt;105</t>
  </si>
  <si>
    <t>Parameter 4</t>
  </si>
  <si>
    <t>Parameter 5</t>
  </si>
  <si>
    <t>Focus Pack ECO</t>
  </si>
  <si>
    <t>Incentive</t>
  </si>
  <si>
    <t>Parameter 6</t>
  </si>
  <si>
    <t>Focus Pack Value</t>
  </si>
  <si>
    <t>Secondary Order Fulfilment</t>
  </si>
  <si>
    <t>&lt;=105</t>
  </si>
  <si>
    <r>
      <rPr>
        <b/>
        <i/>
        <u/>
        <sz val="14"/>
        <color rgb="FF0070C0"/>
        <rFont val="Calibri"/>
        <family val="2"/>
        <scheme val="minor"/>
      </rPr>
      <t xml:space="preserve">From May'25 </t>
    </r>
    <r>
      <rPr>
        <i/>
        <u/>
        <sz val="14"/>
        <color rgb="FFFF0000"/>
        <rFont val="Calibri"/>
        <family val="2"/>
        <scheme val="minor"/>
      </rPr>
      <t>-Incentive Parameters….SSA (TN) &amp; DSM ( TN -Excl.Madurai )</t>
    </r>
  </si>
  <si>
    <t>Header  </t>
  </si>
  <si>
    <t>Revised(Nov 2024-2025)</t>
  </si>
  <si>
    <t xml:space="preserve">Total Earnings </t>
  </si>
  <si>
    <t>Remarks  </t>
  </si>
  <si>
    <t xml:space="preserve">Stall Activity </t>
  </si>
  <si>
    <t>Stall Activity Plan to be updated before 3 days time by mail and after the activity report to be submitted in order to account in the Salary . * Per Mth 2 Days Mandatory</t>
  </si>
  <si>
    <t xml:space="preserve">TC PC &amp; TLSD </t>
  </si>
  <si>
    <t xml:space="preserve">  </t>
  </si>
  <si>
    <t xml:space="preserve">*TC Avg = 45= Rs-500/- /PC= Avg 21 Rs-500/- &amp; TLSD Avg= 5 Rs-500/-(Eligibility Banker Value&gt;=90%)- Value Achivement &gt;=100% -500/- </t>
  </si>
  <si>
    <t xml:space="preserve">Unique Eco – 270  or &gt;=85% </t>
  </si>
  <si>
    <t xml:space="preserve">Bizom report - Minimum Value of an Unique Eco outlet 85% and Value in a bill to be Rs. 450 </t>
  </si>
  <si>
    <t>Focus Pack 1 - 375 For Eco / 375 For Value  </t>
  </si>
  <si>
    <t>On Achieving the set Eco Target and Value of the Focus Pack to Get Rs.250 + Rs. 250   </t>
  </si>
  <si>
    <t>Focus Pack 2 - 375 For Eco / 375 For Value  </t>
  </si>
  <si>
    <t>Focus Pack 3 - 375 For Eco / 375 For Value  </t>
  </si>
  <si>
    <t>Focus Pack 4 - 375 For Eco / 375 For Value  </t>
  </si>
  <si>
    <t>Secondary Order Fulfillment</t>
  </si>
  <si>
    <t>On Achieving the secondary order fulfillment 100%  to Get Rs. 750</t>
  </si>
  <si>
    <t>Value Achievement  </t>
  </si>
  <si>
    <t xml:space="preserve">On Achieving 90% of the Set Value Target to Get Rs. 750 / 100% - to Get Rs. 1000 / 105% - to Get Rs. 1250 /- </t>
  </si>
  <si>
    <t xml:space="preserve">Mobile Allowance </t>
  </si>
  <si>
    <t xml:space="preserve">Monthly </t>
  </si>
  <si>
    <t>Total  </t>
  </si>
  <si>
    <t>* Stall activites per month 2 days compulsary , If not, 50% only eligiable in total earned incentives</t>
  </si>
  <si>
    <t>* TC PC calculate in single beat only</t>
  </si>
  <si>
    <t>AP &amp; TS -GT  Incentive parameters from May'25</t>
  </si>
  <si>
    <t>Parameters</t>
  </si>
  <si>
    <t>Previous</t>
  </si>
  <si>
    <t>Proposal(25-26)</t>
  </si>
  <si>
    <t>Remarks</t>
  </si>
  <si>
    <t>Val Achievement</t>
  </si>
  <si>
    <t>On Ach of 90 % of Given Target ,to get Rs.750/- 100% Ach of Given target ,to get Rs.1000</t>
  </si>
  <si>
    <t>Total Calls</t>
  </si>
  <si>
    <t>new</t>
  </si>
  <si>
    <t>TC Avg Calls should be 40 Per day</t>
  </si>
  <si>
    <t>Productive Calls</t>
  </si>
  <si>
    <r>
      <t>Productive call Avg should be 15 per day,375 as month target (Till Sep'25)</t>
    </r>
    <r>
      <rPr>
        <sz val="11"/>
        <color rgb="FFFF0000"/>
        <rFont val="Calibri"/>
        <family val="2"/>
        <scheme val="minor"/>
      </rPr>
      <t>, From Oct'25 Minimum</t>
    </r>
    <r>
      <rPr>
        <b/>
        <sz val="11"/>
        <color rgb="FFFF0000"/>
        <rFont val="Calibri"/>
        <family val="2"/>
        <scheme val="minor"/>
      </rPr>
      <t xml:space="preserve"> 18 PC</t>
    </r>
  </si>
  <si>
    <r>
      <t xml:space="preserve">TLSD Avg should be 5 per PC and for the day should be 75 TLSD (AVG for the Month) - Till sep'25  </t>
    </r>
    <r>
      <rPr>
        <sz val="11"/>
        <color rgb="FFFF0000"/>
        <rFont val="Calibri"/>
        <family val="2"/>
        <scheme val="minor"/>
      </rPr>
      <t>From Oct'25  TLSD AVG Per PC to be 5 and for the day to be 90</t>
    </r>
  </si>
  <si>
    <t>ECO</t>
  </si>
  <si>
    <t>On Ach of 100% Given ECO Target,get Rs.500/-Min.Bill Value is Rs.250</t>
  </si>
  <si>
    <t>Focus Pack 1</t>
  </si>
  <si>
    <t>on Ach set ECO target,get Rs.250 &amp; Set val Target Rs.250,total Rs.500/-</t>
  </si>
  <si>
    <t>Focus Pack 2</t>
  </si>
  <si>
    <t>Focus Pack 3</t>
  </si>
  <si>
    <t>Focus Pack 4</t>
  </si>
  <si>
    <t>Stall Activity</t>
  </si>
  <si>
    <t>Stall Activity 250 per each activity* Per Mth 2 Days Mandatory</t>
  </si>
  <si>
    <t>Mobile Allowance</t>
  </si>
  <si>
    <t>Karnataka</t>
  </si>
  <si>
    <r>
      <t>Header </t>
    </r>
    <r>
      <rPr>
        <sz val="10"/>
        <color rgb="FF000000"/>
        <rFont val="Cambria"/>
        <family val="1"/>
        <scheme val="major"/>
      </rPr>
      <t> </t>
    </r>
  </si>
  <si>
    <t>Revised(Effective from 1-Dec-24 to Mar, 25)</t>
  </si>
  <si>
    <t>Total Earnings</t>
  </si>
  <si>
    <r>
      <t>Remarks </t>
    </r>
    <r>
      <rPr>
        <sz val="10"/>
        <color rgb="FF000000"/>
        <rFont val="Cambria"/>
        <family val="1"/>
        <scheme val="major"/>
      </rPr>
      <t> </t>
    </r>
  </si>
  <si>
    <t>Salary</t>
  </si>
  <si>
    <t>TA DA</t>
  </si>
  <si>
    <t>150 per day</t>
  </si>
  <si>
    <t>Rs. 150 Per day</t>
  </si>
  <si>
    <t>Rs. 250/-</t>
  </si>
  <si>
    <t>Sec Sales Tgt Vs Ach</t>
  </si>
  <si>
    <t>On Achieving 90% of the Set Value Target to Get Rs. 1500 / 100% - to Get Rs. 1750 / 105% - to Get Rs. 2000/-</t>
  </si>
  <si>
    <t>Productiveity</t>
  </si>
  <si>
    <t>On Achieving 50% PC to get Rs. 500/-</t>
  </si>
  <si>
    <t>F1</t>
  </si>
  <si>
    <t>On Achieving 100% of the Set Target to get Rs. 750/-</t>
  </si>
  <si>
    <t>F2</t>
  </si>
  <si>
    <t>On Achieving 100% of the Set Target to get Rs. 250/-</t>
  </si>
  <si>
    <t>F3</t>
  </si>
  <si>
    <t>Sampling activity</t>
  </si>
  <si>
    <t>Min. 2 Activities is Mandatory</t>
  </si>
  <si>
    <t>Bizom Incentive -Rs 50*26 days </t>
  </si>
  <si>
    <t>On Attendance, Secondary Sales, CM &amp; PC</t>
  </si>
  <si>
    <t>All the achievements are based on the "Reports Template"</t>
  </si>
  <si>
    <t>MDM Generel Targets template</t>
  </si>
  <si>
    <t>Section</t>
  </si>
  <si>
    <t>Details</t>
  </si>
  <si>
    <t>Purpose</t>
  </si>
  <si>
    <t>Defines cumulative targets per SF user and period to compare against achievements</t>
  </si>
  <si>
    <t>Keys</t>
  </si>
  <si>
    <t>Target Source</t>
  </si>
  <si>
    <t>MDM Target Upload (Secondary Revenue, ECO, TC/PC/TLSD)</t>
  </si>
  <si>
    <t>Achievement Source</t>
  </si>
  <si>
    <t>Transactional data from Secondary Sales, Attendance, Outlet Orders</t>
  </si>
  <si>
    <t>Calculations</t>
  </si>
  <si>
    <t>Achievement % = Actual / Target * 100</t>
  </si>
  <si>
    <t>Validations</t>
  </si>
  <si>
    <t>No overlapping periods, Targets &gt;=0, Distinct outlet counts</t>
  </si>
  <si>
    <t>Tracks focus pack-wise performance</t>
  </si>
  <si>
    <t>Structure</t>
  </si>
  <si>
    <t>Child records per Focus Pack (FP1–FP4)</t>
  </si>
  <si>
    <t>Focus pack targets captured in MDM</t>
  </si>
  <si>
    <t>Achievement Logic</t>
  </si>
  <si>
    <t>Distinct outlet count + value achievement</t>
  </si>
  <si>
    <t>Payout Logic</t>
  </si>
  <si>
    <t>ECO Ach = Rs250 + Value Ach = Rs250</t>
  </si>
  <si>
    <t>Validation</t>
  </si>
  <si>
    <t>SKU must match MDM mapping, no duplication</t>
  </si>
  <si>
    <t>Final PBIS and performance computation</t>
  </si>
  <si>
    <t>Inputs</t>
  </si>
  <si>
    <t>Targets from MDM + Actuals from Transactions</t>
  </si>
  <si>
    <t>Metrics Calculated</t>
  </si>
  <si>
    <t>Sales, ECO, Productivity, Focus Packs</t>
  </si>
  <si>
    <t>Averages</t>
  </si>
  <si>
    <t>Actual / Attendance Days</t>
  </si>
  <si>
    <t>Reporting Output</t>
  </si>
  <si>
    <t>User-wise, Period-wise achievement report</t>
  </si>
  <si>
    <t>Focus pack targets MDM template</t>
  </si>
  <si>
    <t>Secondary Target Vs Achiement Report</t>
  </si>
  <si>
    <t>Secondary PBIS Parameter set up MDM</t>
  </si>
  <si>
    <t>Ideally we should be able to name and capture any number of parameters in this MDM. We need to discuss the structure on Parameter set up if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</si>
</sst>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u/>
      <sz val="14"/>
      <color rgb="FFFF0000"/>
      <name val="Calibri"/>
      <family val="2"/>
      <scheme val="minor"/>
    </font>
    <font>
      <b/>
      <i/>
      <u/>
      <sz val="14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2"/>
      <color rgb="FF000000"/>
      <name val="Cambria"/>
      <family val="1"/>
      <scheme val="major"/>
    </font>
    <font>
      <b/>
      <sz val="10"/>
      <color rgb="FF000000"/>
      <name val="Cambria"/>
      <family val="1"/>
      <scheme val="major"/>
    </font>
    <font>
      <sz val="10"/>
      <color rgb="FF000000"/>
      <name val="Cambria"/>
      <family val="1"/>
      <scheme val="major"/>
    </font>
    <font>
      <sz val="1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C0D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5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2" fillId="0" borderId="0">
      <alignment vertical="center"/>
    </xf>
    <xf numFmtId="0" fontId="13" fillId="0" borderId="0"/>
    <xf numFmtId="0" fontId="12" fillId="0" borderId="0">
      <alignment vertical="center"/>
    </xf>
    <xf numFmtId="0" fontId="6" fillId="0" borderId="0"/>
    <xf numFmtId="0" fontId="6" fillId="0" borderId="0"/>
    <xf numFmtId="0" fontId="6" fillId="0" borderId="0"/>
    <xf numFmtId="0" fontId="2" fillId="0" borderId="0"/>
    <xf numFmtId="0" fontId="13" fillId="0" borderId="0"/>
    <xf numFmtId="0" fontId="13" fillId="0" borderId="0"/>
    <xf numFmtId="0" fontId="12" fillId="0" borderId="0">
      <alignment vertical="center"/>
    </xf>
  </cellStyleXfs>
  <cellXfs count="52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/>
    <xf numFmtId="9" fontId="0" fillId="0" borderId="0" xfId="1" applyFont="1" applyAlignment="1">
      <alignment wrapText="1"/>
    </xf>
    <xf numFmtId="9" fontId="0" fillId="0" borderId="0" xfId="0" applyNumberFormat="1"/>
    <xf numFmtId="0" fontId="4" fillId="0" borderId="3" xfId="0" applyFont="1" applyBorder="1"/>
    <xf numFmtId="0" fontId="0" fillId="0" borderId="3" xfId="0" applyFont="1" applyBorder="1"/>
    <xf numFmtId="0" fontId="6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4" fillId="0" borderId="0" xfId="0" applyFont="1"/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right" vertical="center" wrapText="1"/>
    </xf>
    <xf numFmtId="0" fontId="6" fillId="5" borderId="6" xfId="0" applyFont="1" applyFill="1" applyBorder="1" applyAlignment="1">
      <alignment horizontal="right" vertical="center"/>
    </xf>
    <xf numFmtId="0" fontId="11" fillId="5" borderId="7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left"/>
    </xf>
    <xf numFmtId="0" fontId="16" fillId="0" borderId="3" xfId="0" applyFont="1" applyBorder="1" applyAlignment="1">
      <alignment horizontal="left"/>
    </xf>
    <xf numFmtId="3" fontId="16" fillId="0" borderId="3" xfId="0" applyNumberFormat="1" applyFont="1" applyBorder="1" applyAlignment="1">
      <alignment horizontal="left"/>
    </xf>
    <xf numFmtId="0" fontId="17" fillId="5" borderId="3" xfId="0" applyFont="1" applyFill="1" applyBorder="1" applyAlignment="1">
      <alignment horizontal="left" wrapText="1"/>
    </xf>
    <xf numFmtId="0" fontId="16" fillId="0" borderId="3" xfId="0" applyFont="1" applyBorder="1" applyAlignment="1">
      <alignment horizontal="left" wrapText="1"/>
    </xf>
    <xf numFmtId="0" fontId="17" fillId="5" borderId="3" xfId="0" applyFont="1" applyFill="1" applyBorder="1" applyAlignment="1">
      <alignment horizontal="left"/>
    </xf>
    <xf numFmtId="0" fontId="18" fillId="0" borderId="3" xfId="0" applyFont="1" applyBorder="1" applyAlignment="1">
      <alignment horizontal="left"/>
    </xf>
    <xf numFmtId="3" fontId="19" fillId="0" borderId="3" xfId="0" applyNumberFormat="1" applyFont="1" applyBorder="1" applyAlignment="1">
      <alignment horizontal="left"/>
    </xf>
    <xf numFmtId="0" fontId="18" fillId="0" borderId="3" xfId="0" applyFont="1" applyBorder="1" applyAlignment="1">
      <alignment horizontal="left" wrapText="1"/>
    </xf>
    <xf numFmtId="0" fontId="20" fillId="0" borderId="0" xfId="0" applyFont="1" applyAlignment="1"/>
    <xf numFmtId="0" fontId="21" fillId="0" borderId="3" xfId="0" applyFont="1" applyBorder="1" applyAlignment="1">
      <alignment horizontal="center" vertical="top"/>
    </xf>
    <xf numFmtId="0" fontId="20" fillId="0" borderId="0" xfId="0" applyFont="1"/>
    <xf numFmtId="0" fontId="21" fillId="0" borderId="11" xfId="0" applyFont="1" applyBorder="1" applyAlignment="1">
      <alignment horizontal="left" vertical="top"/>
    </xf>
    <xf numFmtId="0" fontId="21" fillId="0" borderId="0" xfId="0" applyFont="1" applyBorder="1" applyAlignment="1">
      <alignment horizontal="left" vertical="top"/>
    </xf>
    <xf numFmtId="0" fontId="21" fillId="0" borderId="12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9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4" fillId="7" borderId="8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</cellXfs>
  <cellStyles count="15">
    <cellStyle name="Normal" xfId="0" builtinId="0"/>
    <cellStyle name="Normal 10" xfId="2"/>
    <cellStyle name="Normal 2" xfId="3"/>
    <cellStyle name="Normal 2 2" xfId="4"/>
    <cellStyle name="Normal 3" xfId="5"/>
    <cellStyle name="Normal 3 3" xfId="6"/>
    <cellStyle name="Normal 4" xfId="7"/>
    <cellStyle name="Normal 5" xfId="8"/>
    <cellStyle name="Normal 5 2" xfId="9"/>
    <cellStyle name="Normal 5 3" xfId="10"/>
    <cellStyle name="Normal 6" xfId="11"/>
    <cellStyle name="Normal 7" xfId="12"/>
    <cellStyle name="Normal 8" xfId="13"/>
    <cellStyle name="Normal 9" xfId="14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"/>
  <sheetViews>
    <sheetView tabSelected="1" zoomScale="145" zoomScaleNormal="145" workbookViewId="0">
      <selection activeCell="C3" sqref="C3"/>
    </sheetView>
  </sheetViews>
  <sheetFormatPr defaultRowHeight="15" x14ac:dyDescent="0.25"/>
  <cols>
    <col min="1" max="1" width="10.85546875" style="2" customWidth="1"/>
    <col min="2" max="2" width="13.28515625" style="2" bestFit="1" customWidth="1"/>
    <col min="3" max="3" width="12" style="2" customWidth="1"/>
    <col min="4" max="4" width="5" style="2" bestFit="1" customWidth="1"/>
    <col min="5" max="5" width="10.7109375" style="2" customWidth="1"/>
    <col min="6" max="6" width="10.140625" style="2" bestFit="1" customWidth="1"/>
    <col min="7" max="7" width="10.7109375" style="2" customWidth="1"/>
    <col min="8" max="30" width="9.140625" style="2"/>
    <col min="31" max="31" width="7.7109375" style="2" customWidth="1"/>
    <col min="32" max="16384" width="9.140625" style="2"/>
  </cols>
  <sheetData>
    <row r="1" spans="1:31" x14ac:dyDescent="0.25">
      <c r="A1" s="40" t="s">
        <v>173</v>
      </c>
    </row>
    <row r="2" spans="1:31" ht="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12</v>
      </c>
      <c r="F2" s="2" t="s">
        <v>13</v>
      </c>
      <c r="G2" s="2" t="s">
        <v>24</v>
      </c>
      <c r="H2" s="2" t="s">
        <v>25</v>
      </c>
      <c r="I2" s="2" t="s">
        <v>32</v>
      </c>
      <c r="J2" s="2" t="s">
        <v>33</v>
      </c>
      <c r="K2" s="2" t="s">
        <v>34</v>
      </c>
      <c r="L2" s="2" t="s">
        <v>54</v>
      </c>
      <c r="M2" s="2" t="s">
        <v>55</v>
      </c>
      <c r="N2" s="2" t="s">
        <v>5</v>
      </c>
      <c r="O2" s="2" t="s">
        <v>6</v>
      </c>
      <c r="P2" s="2" t="s">
        <v>26</v>
      </c>
      <c r="Q2" s="2" t="s">
        <v>14</v>
      </c>
      <c r="R2" s="2" t="s">
        <v>15</v>
      </c>
      <c r="S2" s="2" t="s">
        <v>27</v>
      </c>
      <c r="T2" s="2" t="s">
        <v>16</v>
      </c>
      <c r="U2" s="2" t="s">
        <v>17</v>
      </c>
      <c r="V2" s="2" t="s">
        <v>28</v>
      </c>
      <c r="W2" s="2" t="s">
        <v>18</v>
      </c>
      <c r="X2" s="2" t="s">
        <v>19</v>
      </c>
      <c r="Y2" s="2" t="s">
        <v>29</v>
      </c>
      <c r="Z2" s="2" t="s">
        <v>20</v>
      </c>
      <c r="AA2" s="2" t="s">
        <v>21</v>
      </c>
      <c r="AB2" s="2" t="s">
        <v>30</v>
      </c>
      <c r="AC2" s="2" t="s">
        <v>22</v>
      </c>
      <c r="AD2" s="2" t="s">
        <v>23</v>
      </c>
      <c r="AE2" s="2" t="s">
        <v>31</v>
      </c>
    </row>
    <row r="3" spans="1:31" ht="45" x14ac:dyDescent="0.25">
      <c r="G3" s="2" t="s">
        <v>4</v>
      </c>
      <c r="H3" s="2" t="s">
        <v>8</v>
      </c>
    </row>
    <row r="5" spans="1:31" x14ac:dyDescent="0.25">
      <c r="A5" s="2" t="s">
        <v>9</v>
      </c>
      <c r="B5" s="2" t="s">
        <v>10</v>
      </c>
      <c r="C5" s="2" t="s">
        <v>11</v>
      </c>
      <c r="D5" s="2">
        <v>2026</v>
      </c>
      <c r="E5" s="3">
        <v>46143</v>
      </c>
      <c r="F5" s="3">
        <v>46173</v>
      </c>
      <c r="G5" s="2">
        <v>500000</v>
      </c>
      <c r="H5" s="2">
        <v>250</v>
      </c>
      <c r="I5" s="2">
        <v>50</v>
      </c>
      <c r="J5" s="2">
        <v>25</v>
      </c>
      <c r="K5" s="2">
        <v>3</v>
      </c>
      <c r="N5" s="2" t="s">
        <v>7</v>
      </c>
      <c r="O5" s="2">
        <v>50000</v>
      </c>
      <c r="P5" s="2">
        <v>200</v>
      </c>
    </row>
    <row r="8" spans="1:31" x14ac:dyDescent="0.25">
      <c r="A8" s="41" t="s">
        <v>174</v>
      </c>
      <c r="C8" s="41" t="s">
        <v>175</v>
      </c>
    </row>
    <row r="9" spans="1:31" x14ac:dyDescent="0.25">
      <c r="A9" t="s">
        <v>176</v>
      </c>
      <c r="C9" t="s">
        <v>177</v>
      </c>
    </row>
    <row r="10" spans="1:31" x14ac:dyDescent="0.25">
      <c r="A10" t="s">
        <v>178</v>
      </c>
      <c r="C10" t="s">
        <v>52</v>
      </c>
    </row>
    <row r="11" spans="1:31" x14ac:dyDescent="0.25">
      <c r="A11" t="s">
        <v>179</v>
      </c>
      <c r="C11" t="s">
        <v>180</v>
      </c>
    </row>
    <row r="12" spans="1:31" x14ac:dyDescent="0.25">
      <c r="A12" t="s">
        <v>181</v>
      </c>
      <c r="C12" t="s">
        <v>182</v>
      </c>
    </row>
    <row r="13" spans="1:31" x14ac:dyDescent="0.25">
      <c r="A13" t="s">
        <v>183</v>
      </c>
      <c r="C13" t="s">
        <v>184</v>
      </c>
    </row>
    <row r="14" spans="1:31" x14ac:dyDescent="0.25">
      <c r="A14" t="s">
        <v>185</v>
      </c>
      <c r="C14" t="s">
        <v>186</v>
      </c>
    </row>
    <row r="15" spans="1:31" x14ac:dyDescent="0.25">
      <c r="B15" s="1"/>
    </row>
    <row r="16" spans="1:31" x14ac:dyDescent="0.25">
      <c r="B16" s="1"/>
    </row>
    <row r="17" spans="2:2" x14ac:dyDescent="0.25">
      <c r="B17" s="1"/>
    </row>
    <row r="18" spans="2:2" x14ac:dyDescent="0.25">
      <c r="B1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zoomScale="160" zoomScaleNormal="160" workbookViewId="0">
      <selection activeCell="B4" sqref="B4"/>
    </sheetView>
  </sheetViews>
  <sheetFormatPr defaultRowHeight="15" x14ac:dyDescent="0.25"/>
  <cols>
    <col min="1" max="1" width="19.5703125" customWidth="1"/>
    <col min="2" max="2" width="43.28515625" bestFit="1" customWidth="1"/>
  </cols>
  <sheetData>
    <row r="1" spans="1:1" x14ac:dyDescent="0.25">
      <c r="A1" s="42" t="s">
        <v>206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12</v>
      </c>
    </row>
    <row r="7" spans="1:1" x14ac:dyDescent="0.25">
      <c r="A7" s="2" t="s">
        <v>13</v>
      </c>
    </row>
    <row r="8" spans="1:1" x14ac:dyDescent="0.25">
      <c r="A8" s="2" t="s">
        <v>56</v>
      </c>
    </row>
    <row r="9" spans="1:1" x14ac:dyDescent="0.25">
      <c r="A9" s="2" t="s">
        <v>57</v>
      </c>
    </row>
    <row r="10" spans="1:1" x14ac:dyDescent="0.25">
      <c r="A10" s="2" t="s">
        <v>5</v>
      </c>
    </row>
    <row r="11" spans="1:1" x14ac:dyDescent="0.25">
      <c r="A11" s="2" t="s">
        <v>6</v>
      </c>
    </row>
    <row r="12" spans="1:1" x14ac:dyDescent="0.25">
      <c r="A12" s="2" t="s">
        <v>26</v>
      </c>
    </row>
    <row r="13" spans="1:1" x14ac:dyDescent="0.25">
      <c r="A13" s="2" t="s">
        <v>64</v>
      </c>
    </row>
    <row r="14" spans="1:1" x14ac:dyDescent="0.25">
      <c r="A14" s="2" t="s">
        <v>65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2" ht="30" x14ac:dyDescent="0.25">
      <c r="A17" s="2" t="s">
        <v>40</v>
      </c>
    </row>
    <row r="18" spans="1:2" ht="30" x14ac:dyDescent="0.25">
      <c r="A18" s="2" t="s">
        <v>66</v>
      </c>
    </row>
    <row r="19" spans="1:2" ht="30" x14ac:dyDescent="0.25">
      <c r="A19" s="2" t="s">
        <v>67</v>
      </c>
    </row>
    <row r="20" spans="1:2" ht="30" x14ac:dyDescent="0.25">
      <c r="A20" s="2" t="s">
        <v>16</v>
      </c>
    </row>
    <row r="21" spans="1:2" ht="30" x14ac:dyDescent="0.25">
      <c r="A21" s="2" t="s">
        <v>17</v>
      </c>
    </row>
    <row r="22" spans="1:2" ht="30" x14ac:dyDescent="0.25">
      <c r="A22" s="2" t="s">
        <v>43</v>
      </c>
    </row>
    <row r="23" spans="1:2" ht="30" x14ac:dyDescent="0.25">
      <c r="A23" s="2" t="s">
        <v>68</v>
      </c>
    </row>
    <row r="24" spans="1:2" ht="30" x14ac:dyDescent="0.25">
      <c r="A24" s="2" t="s">
        <v>69</v>
      </c>
    </row>
    <row r="25" spans="1:2" ht="30" x14ac:dyDescent="0.25">
      <c r="A25" s="2" t="s">
        <v>18</v>
      </c>
    </row>
    <row r="26" spans="1:2" ht="30" x14ac:dyDescent="0.25">
      <c r="A26" s="2" t="s">
        <v>19</v>
      </c>
    </row>
    <row r="27" spans="1:2" ht="30" x14ac:dyDescent="0.25">
      <c r="A27" s="2" t="s">
        <v>70</v>
      </c>
    </row>
    <row r="30" spans="1:2" x14ac:dyDescent="0.25">
      <c r="A30" s="41" t="s">
        <v>174</v>
      </c>
      <c r="B30" s="41" t="s">
        <v>175</v>
      </c>
    </row>
    <row r="31" spans="1:2" x14ac:dyDescent="0.25">
      <c r="A31" t="s">
        <v>176</v>
      </c>
      <c r="B31" t="s">
        <v>187</v>
      </c>
    </row>
    <row r="32" spans="1:2" x14ac:dyDescent="0.25">
      <c r="A32" t="s">
        <v>188</v>
      </c>
      <c r="B32" t="s">
        <v>189</v>
      </c>
    </row>
    <row r="33" spans="1:2" x14ac:dyDescent="0.25">
      <c r="A33" t="s">
        <v>179</v>
      </c>
      <c r="B33" t="s">
        <v>190</v>
      </c>
    </row>
    <row r="34" spans="1:2" x14ac:dyDescent="0.25">
      <c r="A34" t="s">
        <v>191</v>
      </c>
      <c r="B34" t="s">
        <v>192</v>
      </c>
    </row>
    <row r="35" spans="1:2" x14ac:dyDescent="0.25">
      <c r="A35" t="s">
        <v>193</v>
      </c>
      <c r="B35" t="s">
        <v>194</v>
      </c>
    </row>
    <row r="36" spans="1:2" x14ac:dyDescent="0.25">
      <c r="A36" t="s">
        <v>195</v>
      </c>
      <c r="B36" t="s">
        <v>196</v>
      </c>
    </row>
    <row r="37" spans="1:2" x14ac:dyDescent="0.25">
      <c r="B37" s="7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"/>
  <sheetViews>
    <sheetView zoomScale="190" zoomScaleNormal="190" workbookViewId="0">
      <selection activeCell="B5" sqref="B5"/>
    </sheetView>
  </sheetViews>
  <sheetFormatPr defaultRowHeight="15" x14ac:dyDescent="0.25"/>
  <cols>
    <col min="1" max="1" width="5.140625" style="2" customWidth="1"/>
    <col min="2" max="2" width="7.140625" style="2" customWidth="1"/>
    <col min="3" max="3" width="4.7109375" style="2" customWidth="1"/>
    <col min="4" max="4" width="4.85546875" style="2" bestFit="1" customWidth="1"/>
    <col min="5" max="8" width="9.140625" style="2"/>
    <col min="9" max="9" width="13" style="6" customWidth="1"/>
    <col min="10" max="10" width="9.140625" style="5"/>
    <col min="11" max="13" width="10.42578125" style="2" customWidth="1"/>
    <col min="14" max="21" width="9.140625" style="2"/>
    <col min="22" max="22" width="9.140625" style="4"/>
    <col min="23" max="28" width="9.140625" style="5"/>
    <col min="29" max="29" width="9.140625" style="6"/>
    <col min="30" max="30" width="9.140625" style="4"/>
    <col min="31" max="31" width="9.140625" style="5"/>
    <col min="32" max="32" width="9.140625" style="2"/>
    <col min="33" max="36" width="9.140625" style="5"/>
    <col min="37" max="37" width="9.140625" style="6"/>
    <col min="38" max="39" width="9.140625" style="5"/>
    <col min="40" max="40" width="9.140625" style="2"/>
    <col min="41" max="44" width="9.140625" style="5"/>
    <col min="45" max="45" width="9.140625" style="6"/>
    <col min="46" max="16384" width="9.140625" style="2"/>
  </cols>
  <sheetData>
    <row r="1" spans="1:45" x14ac:dyDescent="0.25">
      <c r="A1" s="40" t="s">
        <v>207</v>
      </c>
    </row>
    <row r="2" spans="1:45" x14ac:dyDescent="0.25">
      <c r="A2" s="40"/>
    </row>
    <row r="3" spans="1:45" x14ac:dyDescent="0.25">
      <c r="A3" s="7" t="s">
        <v>72</v>
      </c>
    </row>
    <row r="4" spans="1:45" x14ac:dyDescent="0.25">
      <c r="A4" s="7"/>
    </row>
    <row r="5" spans="1:45" ht="90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12</v>
      </c>
      <c r="F5" s="2" t="s">
        <v>13</v>
      </c>
      <c r="G5" s="2" t="s">
        <v>47</v>
      </c>
      <c r="H5" s="2" t="s">
        <v>45</v>
      </c>
      <c r="I5" s="6" t="s">
        <v>46</v>
      </c>
      <c r="J5" s="5" t="s">
        <v>48</v>
      </c>
      <c r="K5" s="2" t="s">
        <v>24</v>
      </c>
      <c r="L5" s="2" t="s">
        <v>35</v>
      </c>
      <c r="M5" s="2" t="s">
        <v>73</v>
      </c>
      <c r="N5" s="2" t="s">
        <v>25</v>
      </c>
      <c r="O5" s="2" t="s">
        <v>53</v>
      </c>
      <c r="P5" s="2" t="s">
        <v>32</v>
      </c>
      <c r="Q5" s="2" t="s">
        <v>49</v>
      </c>
      <c r="R5" s="2" t="s">
        <v>33</v>
      </c>
      <c r="S5" s="2" t="s">
        <v>50</v>
      </c>
      <c r="T5" s="2" t="s">
        <v>36</v>
      </c>
      <c r="U5" s="2" t="s">
        <v>51</v>
      </c>
      <c r="V5" s="4" t="s">
        <v>59</v>
      </c>
      <c r="W5" s="5" t="s">
        <v>58</v>
      </c>
      <c r="X5" s="5" t="s">
        <v>5</v>
      </c>
      <c r="Y5" s="5" t="s">
        <v>6</v>
      </c>
      <c r="Z5" s="5" t="s">
        <v>37</v>
      </c>
      <c r="AA5" s="5" t="s">
        <v>75</v>
      </c>
      <c r="AB5" s="5" t="s">
        <v>26</v>
      </c>
      <c r="AC5" s="6" t="s">
        <v>38</v>
      </c>
      <c r="AD5" s="4" t="s">
        <v>60</v>
      </c>
      <c r="AE5" s="5" t="s">
        <v>61</v>
      </c>
      <c r="AF5" s="2" t="s">
        <v>14</v>
      </c>
      <c r="AG5" s="5" t="s">
        <v>15</v>
      </c>
      <c r="AH5" s="5" t="s">
        <v>39</v>
      </c>
      <c r="AI5" s="5" t="s">
        <v>77</v>
      </c>
      <c r="AJ5" s="5" t="s">
        <v>40</v>
      </c>
      <c r="AK5" s="6" t="s">
        <v>41</v>
      </c>
      <c r="AL5" s="4" t="s">
        <v>62</v>
      </c>
      <c r="AM5" s="5" t="s">
        <v>63</v>
      </c>
      <c r="AN5" s="2" t="s">
        <v>16</v>
      </c>
      <c r="AO5" s="5" t="s">
        <v>17</v>
      </c>
      <c r="AP5" s="5" t="s">
        <v>42</v>
      </c>
      <c r="AQ5" s="5" t="s">
        <v>78</v>
      </c>
      <c r="AR5" s="5" t="s">
        <v>43</v>
      </c>
      <c r="AS5" s="6" t="s">
        <v>44</v>
      </c>
    </row>
    <row r="6" spans="1:45" x14ac:dyDescent="0.25">
      <c r="M6" s="8"/>
    </row>
    <row r="7" spans="1:45" ht="45" x14ac:dyDescent="0.25">
      <c r="M7" s="2" t="s">
        <v>74</v>
      </c>
      <c r="AA7" s="5" t="s">
        <v>76</v>
      </c>
      <c r="AI7" s="5" t="s">
        <v>76</v>
      </c>
      <c r="AQ7" s="5" t="s">
        <v>76</v>
      </c>
    </row>
    <row r="8" spans="1:45" x14ac:dyDescent="0.25">
      <c r="A8" s="43" t="s">
        <v>174</v>
      </c>
      <c r="B8" s="44"/>
      <c r="C8" s="44"/>
      <c r="D8" s="45"/>
      <c r="E8" s="41" t="s">
        <v>175</v>
      </c>
    </row>
    <row r="9" spans="1:45" x14ac:dyDescent="0.25">
      <c r="A9" s="46" t="s">
        <v>176</v>
      </c>
      <c r="B9" s="46"/>
      <c r="C9" s="46"/>
      <c r="D9" s="46"/>
      <c r="E9" t="s">
        <v>197</v>
      </c>
    </row>
    <row r="10" spans="1:45" x14ac:dyDescent="0.25">
      <c r="A10" s="46" t="s">
        <v>198</v>
      </c>
      <c r="B10" s="46"/>
      <c r="C10" s="46"/>
      <c r="D10" s="46"/>
      <c r="E10" t="s">
        <v>199</v>
      </c>
    </row>
    <row r="11" spans="1:45" x14ac:dyDescent="0.25">
      <c r="A11" s="46" t="s">
        <v>200</v>
      </c>
      <c r="B11" s="46"/>
      <c r="C11" s="46"/>
      <c r="D11" s="46"/>
      <c r="E11" t="s">
        <v>201</v>
      </c>
    </row>
    <row r="12" spans="1:45" x14ac:dyDescent="0.25">
      <c r="A12" s="46" t="s">
        <v>202</v>
      </c>
      <c r="B12" s="46"/>
      <c r="C12" s="46"/>
      <c r="D12" s="46"/>
      <c r="E12" t="s">
        <v>203</v>
      </c>
    </row>
    <row r="13" spans="1:45" x14ac:dyDescent="0.25">
      <c r="A13" s="46" t="s">
        <v>204</v>
      </c>
      <c r="B13" s="46"/>
      <c r="C13" s="46"/>
      <c r="D13" s="46"/>
      <c r="E13" t="s">
        <v>205</v>
      </c>
    </row>
  </sheetData>
  <mergeCells count="6">
    <mergeCell ref="A8:D8"/>
    <mergeCell ref="A13:D13"/>
    <mergeCell ref="A12:D12"/>
    <mergeCell ref="A11:D11"/>
    <mergeCell ref="A10:D10"/>
    <mergeCell ref="A9:D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Views>
    <sheetView zoomScale="160" zoomScaleNormal="160" workbookViewId="0">
      <pane xSplit="6" ySplit="3" topLeftCell="G4" activePane="bottomRight" state="frozen"/>
      <selection pane="topRight" activeCell="G1" sqref="G1"/>
      <selection pane="bottomLeft" activeCell="A2" sqref="A2"/>
      <selection pane="bottomRight" activeCell="A9" sqref="A9"/>
    </sheetView>
  </sheetViews>
  <sheetFormatPr defaultRowHeight="15" x14ac:dyDescent="0.25"/>
  <cols>
    <col min="7" max="7" width="6.5703125" customWidth="1"/>
    <col min="8" max="8" width="5" bestFit="1" customWidth="1"/>
    <col min="9" max="9" width="8.42578125" customWidth="1"/>
    <col min="10" max="10" width="6.42578125" customWidth="1"/>
    <col min="11" max="11" width="5" bestFit="1" customWidth="1"/>
    <col min="12" max="12" width="8.140625" bestFit="1" customWidth="1"/>
    <col min="16" max="16" width="11.7109375" bestFit="1" customWidth="1"/>
    <col min="17" max="17" width="9" customWidth="1"/>
    <col min="19" max="19" width="15" customWidth="1"/>
    <col min="22" max="22" width="15" customWidth="1"/>
    <col min="25" max="25" width="15" customWidth="1"/>
  </cols>
  <sheetData>
    <row r="1" spans="1:27" x14ac:dyDescent="0.25">
      <c r="A1" s="42" t="s">
        <v>208</v>
      </c>
    </row>
    <row r="3" spans="1:27" ht="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12</v>
      </c>
      <c r="F3" s="2" t="s">
        <v>13</v>
      </c>
      <c r="G3" s="2" t="s">
        <v>83</v>
      </c>
      <c r="H3" s="2" t="s">
        <v>79</v>
      </c>
      <c r="I3" s="2" t="s">
        <v>80</v>
      </c>
      <c r="J3" s="2" t="s">
        <v>85</v>
      </c>
      <c r="K3" s="2" t="s">
        <v>79</v>
      </c>
      <c r="L3" s="2" t="s">
        <v>80</v>
      </c>
      <c r="M3" s="2" t="s">
        <v>87</v>
      </c>
      <c r="N3" s="2" t="s">
        <v>79</v>
      </c>
      <c r="O3" s="2" t="s">
        <v>80</v>
      </c>
      <c r="P3" s="2" t="s">
        <v>92</v>
      </c>
      <c r="Q3" s="2" t="s">
        <v>79</v>
      </c>
      <c r="R3" s="2" t="s">
        <v>80</v>
      </c>
      <c r="S3" s="2" t="s">
        <v>93</v>
      </c>
      <c r="T3" s="2" t="s">
        <v>79</v>
      </c>
      <c r="U3" s="2" t="s">
        <v>95</v>
      </c>
      <c r="V3" s="2" t="s">
        <v>96</v>
      </c>
      <c r="W3" s="2" t="s">
        <v>79</v>
      </c>
      <c r="X3" s="2" t="s">
        <v>95</v>
      </c>
      <c r="Y3" s="2" t="s">
        <v>96</v>
      </c>
      <c r="Z3" s="2" t="s">
        <v>79</v>
      </c>
      <c r="AA3" s="2" t="s">
        <v>95</v>
      </c>
    </row>
    <row r="5" spans="1:27" x14ac:dyDescent="0.25">
      <c r="G5" t="s">
        <v>81</v>
      </c>
      <c r="H5" t="s">
        <v>84</v>
      </c>
      <c r="I5">
        <v>500</v>
      </c>
      <c r="J5" t="s">
        <v>82</v>
      </c>
      <c r="K5" t="s">
        <v>86</v>
      </c>
      <c r="L5">
        <v>500</v>
      </c>
      <c r="M5" t="s">
        <v>88</v>
      </c>
      <c r="N5" t="s">
        <v>89</v>
      </c>
      <c r="O5">
        <v>500</v>
      </c>
      <c r="P5" t="s">
        <v>90</v>
      </c>
      <c r="Q5">
        <v>100</v>
      </c>
      <c r="R5">
        <v>750</v>
      </c>
      <c r="S5" t="s">
        <v>94</v>
      </c>
      <c r="T5" s="9">
        <v>1</v>
      </c>
      <c r="U5">
        <v>250</v>
      </c>
      <c r="V5" t="s">
        <v>97</v>
      </c>
      <c r="W5" s="9">
        <v>1</v>
      </c>
      <c r="X5">
        <v>250</v>
      </c>
      <c r="Y5" t="s">
        <v>98</v>
      </c>
      <c r="Z5" s="9">
        <v>1</v>
      </c>
      <c r="AA5">
        <v>750</v>
      </c>
    </row>
    <row r="6" spans="1:27" x14ac:dyDescent="0.25">
      <c r="P6" t="s">
        <v>90</v>
      </c>
      <c r="Q6" t="s">
        <v>99</v>
      </c>
      <c r="R6">
        <v>1000</v>
      </c>
    </row>
    <row r="7" spans="1:27" x14ac:dyDescent="0.25">
      <c r="A7" t="s">
        <v>172</v>
      </c>
      <c r="Q7" t="s">
        <v>91</v>
      </c>
      <c r="R7">
        <v>1250</v>
      </c>
    </row>
    <row r="8" spans="1:27" x14ac:dyDescent="0.25">
      <c r="A8" t="s">
        <v>209</v>
      </c>
    </row>
    <row r="10" spans="1:27" x14ac:dyDescent="0.25">
      <c r="A10" s="43" t="s">
        <v>174</v>
      </c>
      <c r="B10" s="45"/>
      <c r="C10" s="41" t="s">
        <v>175</v>
      </c>
    </row>
    <row r="11" spans="1:27" x14ac:dyDescent="0.25">
      <c r="A11" s="46" t="s">
        <v>176</v>
      </c>
      <c r="B11" s="46"/>
      <c r="C11" t="s">
        <v>197</v>
      </c>
    </row>
    <row r="12" spans="1:27" x14ac:dyDescent="0.25">
      <c r="A12" s="46" t="s">
        <v>198</v>
      </c>
      <c r="B12" s="46"/>
      <c r="C12" t="s">
        <v>199</v>
      </c>
    </row>
    <row r="13" spans="1:27" x14ac:dyDescent="0.25">
      <c r="A13" s="46" t="s">
        <v>200</v>
      </c>
      <c r="B13" s="46"/>
      <c r="C13" t="s">
        <v>201</v>
      </c>
    </row>
    <row r="14" spans="1:27" x14ac:dyDescent="0.25">
      <c r="A14" s="46" t="s">
        <v>202</v>
      </c>
      <c r="B14" s="46"/>
      <c r="C14" t="s">
        <v>203</v>
      </c>
    </row>
    <row r="15" spans="1:27" x14ac:dyDescent="0.25">
      <c r="A15" s="46" t="s">
        <v>204</v>
      </c>
      <c r="B15" s="46"/>
      <c r="C15" t="s">
        <v>205</v>
      </c>
    </row>
  </sheetData>
  <mergeCells count="6">
    <mergeCell ref="A10:B10"/>
    <mergeCell ref="A15:B15"/>
    <mergeCell ref="A14:B14"/>
    <mergeCell ref="A13:B13"/>
    <mergeCell ref="A12:B12"/>
    <mergeCell ref="A11:B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zoomScale="220" zoomScaleNormal="220" workbookViewId="0">
      <selection activeCell="A7" sqref="A7"/>
    </sheetView>
  </sheetViews>
  <sheetFormatPr defaultColWidth="11.5703125" defaultRowHeight="15" x14ac:dyDescent="0.25"/>
  <cols>
    <col min="1" max="1" width="23.28515625" customWidth="1"/>
    <col min="2" max="2" width="7.42578125" bestFit="1" customWidth="1"/>
    <col min="3" max="3" width="12.42578125" customWidth="1"/>
    <col min="4" max="4" width="30.7109375" customWidth="1"/>
    <col min="5" max="5" width="11.140625" customWidth="1"/>
  </cols>
  <sheetData>
    <row r="1" spans="1:4" ht="18.75" x14ac:dyDescent="0.3">
      <c r="A1" s="10" t="s">
        <v>100</v>
      </c>
      <c r="B1" s="11"/>
      <c r="C1" s="11"/>
      <c r="D1" s="11"/>
    </row>
    <row r="2" spans="1:4" ht="60" x14ac:dyDescent="0.25">
      <c r="A2" s="12" t="s">
        <v>101</v>
      </c>
      <c r="B2" s="12" t="s">
        <v>102</v>
      </c>
      <c r="C2" s="12" t="s">
        <v>103</v>
      </c>
      <c r="D2" s="12" t="s">
        <v>104</v>
      </c>
    </row>
    <row r="3" spans="1:4" ht="60" x14ac:dyDescent="0.25">
      <c r="A3" s="13" t="s">
        <v>105</v>
      </c>
      <c r="B3" s="13">
        <v>250</v>
      </c>
      <c r="C3" s="13">
        <v>1000</v>
      </c>
      <c r="D3" s="13" t="s">
        <v>106</v>
      </c>
    </row>
    <row r="4" spans="1:4" ht="48" x14ac:dyDescent="0.25">
      <c r="A4" s="13" t="s">
        <v>107</v>
      </c>
      <c r="B4" s="13" t="s">
        <v>108</v>
      </c>
      <c r="C4" s="13">
        <v>2000</v>
      </c>
      <c r="D4" s="13" t="s">
        <v>109</v>
      </c>
    </row>
    <row r="5" spans="1:4" ht="36" x14ac:dyDescent="0.25">
      <c r="A5" s="13" t="s">
        <v>110</v>
      </c>
      <c r="B5" s="13">
        <v>500</v>
      </c>
      <c r="C5" s="13">
        <v>500</v>
      </c>
      <c r="D5" s="13" t="s">
        <v>111</v>
      </c>
    </row>
    <row r="6" spans="1:4" ht="36" x14ac:dyDescent="0.25">
      <c r="A6" s="13" t="s">
        <v>112</v>
      </c>
      <c r="B6" s="13">
        <v>500</v>
      </c>
      <c r="C6" s="13">
        <v>500</v>
      </c>
      <c r="D6" s="13" t="s">
        <v>113</v>
      </c>
    </row>
    <row r="7" spans="1:4" ht="36" x14ac:dyDescent="0.25">
      <c r="A7" s="13" t="s">
        <v>114</v>
      </c>
      <c r="B7" s="13">
        <v>500</v>
      </c>
      <c r="C7" s="13">
        <v>500</v>
      </c>
      <c r="D7" s="13" t="s">
        <v>113</v>
      </c>
    </row>
    <row r="8" spans="1:4" ht="36" x14ac:dyDescent="0.25">
      <c r="A8" s="13" t="s">
        <v>115</v>
      </c>
      <c r="B8" s="13">
        <v>500</v>
      </c>
      <c r="C8" s="13">
        <v>500</v>
      </c>
      <c r="D8" s="13" t="s">
        <v>113</v>
      </c>
    </row>
    <row r="9" spans="1:4" ht="36" x14ac:dyDescent="0.25">
      <c r="A9" s="14" t="s">
        <v>116</v>
      </c>
      <c r="B9" s="14">
        <v>500</v>
      </c>
      <c r="C9" s="14">
        <v>500</v>
      </c>
      <c r="D9" s="14" t="s">
        <v>113</v>
      </c>
    </row>
    <row r="10" spans="1:4" ht="24" x14ac:dyDescent="0.25">
      <c r="A10" s="13" t="s">
        <v>117</v>
      </c>
      <c r="B10" s="13">
        <v>750</v>
      </c>
      <c r="C10" s="13">
        <v>750</v>
      </c>
      <c r="D10" s="13" t="s">
        <v>118</v>
      </c>
    </row>
    <row r="11" spans="1:4" ht="36" x14ac:dyDescent="0.25">
      <c r="A11" s="13" t="s">
        <v>119</v>
      </c>
      <c r="B11" s="13">
        <v>1250</v>
      </c>
      <c r="C11" s="13">
        <v>1250</v>
      </c>
      <c r="D11" s="13" t="s">
        <v>120</v>
      </c>
    </row>
    <row r="12" spans="1:4" x14ac:dyDescent="0.25">
      <c r="A12" s="13" t="s">
        <v>121</v>
      </c>
      <c r="B12" s="13">
        <v>250</v>
      </c>
      <c r="C12" s="13">
        <v>250</v>
      </c>
      <c r="D12" s="13" t="s">
        <v>122</v>
      </c>
    </row>
    <row r="13" spans="1:4" x14ac:dyDescent="0.25">
      <c r="A13" s="15" t="s">
        <v>123</v>
      </c>
      <c r="B13" s="15" t="s">
        <v>108</v>
      </c>
      <c r="C13" s="15">
        <v>7250</v>
      </c>
      <c r="D13" s="16"/>
    </row>
    <row r="14" spans="1:4" x14ac:dyDescent="0.25">
      <c r="A14" s="47" t="s">
        <v>124</v>
      </c>
      <c r="B14" s="47"/>
      <c r="C14" s="47"/>
      <c r="D14" s="47"/>
    </row>
    <row r="15" spans="1:4" x14ac:dyDescent="0.25">
      <c r="A15" s="48" t="s">
        <v>125</v>
      </c>
      <c r="B15" s="48"/>
      <c r="C15" s="48"/>
      <c r="D15" s="48"/>
    </row>
    <row r="17" spans="1:4" ht="18.75" x14ac:dyDescent="0.3">
      <c r="A17" s="17" t="s">
        <v>126</v>
      </c>
    </row>
    <row r="18" spans="1:4" ht="15.75" thickBot="1" x14ac:dyDescent="0.3">
      <c r="B18" s="9">
        <v>1.05</v>
      </c>
    </row>
    <row r="19" spans="1:4" ht="16.5" thickTop="1" thickBot="1" x14ac:dyDescent="0.3">
      <c r="A19" s="18" t="s">
        <v>127</v>
      </c>
      <c r="B19" s="19" t="s">
        <v>128</v>
      </c>
      <c r="C19" s="19" t="s">
        <v>129</v>
      </c>
      <c r="D19" s="20" t="s">
        <v>130</v>
      </c>
    </row>
    <row r="20" spans="1:4" ht="46.5" thickTop="1" thickBot="1" x14ac:dyDescent="0.3">
      <c r="A20" s="21" t="s">
        <v>131</v>
      </c>
      <c r="B20" s="22">
        <v>1250</v>
      </c>
      <c r="C20" s="22">
        <v>1000</v>
      </c>
      <c r="D20" s="23" t="s">
        <v>132</v>
      </c>
    </row>
    <row r="21" spans="1:4" ht="16.5" thickTop="1" thickBot="1" x14ac:dyDescent="0.3">
      <c r="A21" s="21" t="s">
        <v>133</v>
      </c>
      <c r="B21" s="22" t="s">
        <v>134</v>
      </c>
      <c r="C21" s="22">
        <v>750</v>
      </c>
      <c r="D21" s="23" t="s">
        <v>135</v>
      </c>
    </row>
    <row r="22" spans="1:4" ht="61.5" thickTop="1" thickBot="1" x14ac:dyDescent="0.3">
      <c r="A22" s="21" t="s">
        <v>136</v>
      </c>
      <c r="B22" s="22">
        <v>1250</v>
      </c>
      <c r="C22" s="22">
        <v>1000</v>
      </c>
      <c r="D22" s="23" t="s">
        <v>137</v>
      </c>
    </row>
    <row r="23" spans="1:4" ht="76.5" thickTop="1" thickBot="1" x14ac:dyDescent="0.3">
      <c r="A23" s="21" t="s">
        <v>88</v>
      </c>
      <c r="B23" s="22" t="s">
        <v>134</v>
      </c>
      <c r="C23" s="22">
        <v>750</v>
      </c>
      <c r="D23" s="23" t="s">
        <v>138</v>
      </c>
    </row>
    <row r="24" spans="1:4" ht="46.5" thickTop="1" thickBot="1" x14ac:dyDescent="0.3">
      <c r="A24" s="21" t="s">
        <v>139</v>
      </c>
      <c r="B24" s="22">
        <v>500</v>
      </c>
      <c r="C24" s="22">
        <v>500</v>
      </c>
      <c r="D24" s="23" t="s">
        <v>140</v>
      </c>
    </row>
    <row r="25" spans="1:4" ht="46.5" thickTop="1" thickBot="1" x14ac:dyDescent="0.3">
      <c r="A25" s="21" t="s">
        <v>141</v>
      </c>
      <c r="B25" s="22">
        <v>500</v>
      </c>
      <c r="C25" s="22">
        <v>500</v>
      </c>
      <c r="D25" s="23" t="s">
        <v>142</v>
      </c>
    </row>
    <row r="26" spans="1:4" ht="46.5" thickTop="1" thickBot="1" x14ac:dyDescent="0.3">
      <c r="A26" s="21" t="s">
        <v>143</v>
      </c>
      <c r="B26" s="22">
        <v>500</v>
      </c>
      <c r="C26" s="22">
        <v>500</v>
      </c>
      <c r="D26" s="23" t="s">
        <v>142</v>
      </c>
    </row>
    <row r="27" spans="1:4" ht="46.5" thickTop="1" thickBot="1" x14ac:dyDescent="0.3">
      <c r="A27" s="21" t="s">
        <v>144</v>
      </c>
      <c r="B27" s="22">
        <v>500</v>
      </c>
      <c r="C27" s="22">
        <v>500</v>
      </c>
      <c r="D27" s="23" t="s">
        <v>142</v>
      </c>
    </row>
    <row r="28" spans="1:4" ht="46.5" thickTop="1" thickBot="1" x14ac:dyDescent="0.3">
      <c r="A28" s="24" t="s">
        <v>145</v>
      </c>
      <c r="B28" s="25" t="s">
        <v>134</v>
      </c>
      <c r="C28" s="25">
        <v>500</v>
      </c>
      <c r="D28" s="26" t="s">
        <v>142</v>
      </c>
    </row>
    <row r="29" spans="1:4" ht="46.5" thickTop="1" thickBot="1" x14ac:dyDescent="0.3">
      <c r="A29" s="21" t="s">
        <v>146</v>
      </c>
      <c r="B29" s="22" t="s">
        <v>134</v>
      </c>
      <c r="C29" s="22">
        <v>1000</v>
      </c>
      <c r="D29" s="27" t="s">
        <v>147</v>
      </c>
    </row>
    <row r="30" spans="1:4" ht="16.5" thickTop="1" thickBot="1" x14ac:dyDescent="0.3">
      <c r="A30" s="21" t="s">
        <v>148</v>
      </c>
      <c r="B30" s="22"/>
      <c r="C30" s="22">
        <v>250</v>
      </c>
      <c r="D30" s="28"/>
    </row>
    <row r="31" spans="1:4" ht="16.5" thickTop="1" thickBot="1" x14ac:dyDescent="0.3">
      <c r="A31" s="29"/>
      <c r="B31" s="22"/>
      <c r="C31" s="30">
        <v>7250</v>
      </c>
      <c r="D31" s="27"/>
    </row>
    <row r="32" spans="1:4" ht="15.75" thickTop="1" x14ac:dyDescent="0.25"/>
  </sheetData>
  <mergeCells count="2">
    <mergeCell ref="A14:D14"/>
    <mergeCell ref="A15:D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zoomScale="160" zoomScaleNormal="160" workbookViewId="0">
      <selection activeCell="A9" sqref="A9"/>
    </sheetView>
  </sheetViews>
  <sheetFormatPr defaultRowHeight="15" x14ac:dyDescent="0.25"/>
  <cols>
    <col min="1" max="1" width="30.42578125" bestFit="1" customWidth="1"/>
    <col min="2" max="2" width="39.5703125" bestFit="1" customWidth="1"/>
    <col min="3" max="3" width="13.7109375" bestFit="1" customWidth="1"/>
    <col min="4" max="4" width="29.7109375" customWidth="1"/>
  </cols>
  <sheetData>
    <row r="1" spans="1:4" ht="15.75" x14ac:dyDescent="0.25">
      <c r="A1" s="49" t="s">
        <v>149</v>
      </c>
      <c r="B1" s="50"/>
      <c r="C1" s="50"/>
      <c r="D1" s="51"/>
    </row>
    <row r="2" spans="1:4" x14ac:dyDescent="0.25">
      <c r="A2" s="31" t="s">
        <v>150</v>
      </c>
      <c r="B2" s="31" t="s">
        <v>151</v>
      </c>
      <c r="C2" s="31" t="s">
        <v>152</v>
      </c>
      <c r="D2" s="31" t="s">
        <v>153</v>
      </c>
    </row>
    <row r="3" spans="1:4" x14ac:dyDescent="0.25">
      <c r="A3" s="32" t="s">
        <v>154</v>
      </c>
      <c r="B3" s="32"/>
      <c r="C3" s="33">
        <v>12500</v>
      </c>
      <c r="D3" s="32"/>
    </row>
    <row r="4" spans="1:4" x14ac:dyDescent="0.25">
      <c r="A4" s="32" t="s">
        <v>155</v>
      </c>
      <c r="B4" s="32" t="s">
        <v>156</v>
      </c>
      <c r="C4" s="32">
        <f>150*26</f>
        <v>3900</v>
      </c>
      <c r="D4" s="32" t="s">
        <v>157</v>
      </c>
    </row>
    <row r="5" spans="1:4" x14ac:dyDescent="0.25">
      <c r="A5" s="32" t="s">
        <v>148</v>
      </c>
      <c r="B5" s="32"/>
      <c r="C5" s="32">
        <v>250</v>
      </c>
      <c r="D5" s="32" t="s">
        <v>158</v>
      </c>
    </row>
    <row r="6" spans="1:4" ht="51.75" x14ac:dyDescent="0.25">
      <c r="A6" s="34" t="s">
        <v>159</v>
      </c>
      <c r="B6" s="34">
        <v>2000</v>
      </c>
      <c r="C6" s="32">
        <v>2000</v>
      </c>
      <c r="D6" s="35" t="s">
        <v>160</v>
      </c>
    </row>
    <row r="7" spans="1:4" ht="26.25" x14ac:dyDescent="0.25">
      <c r="A7" s="34" t="s">
        <v>161</v>
      </c>
      <c r="B7" s="34">
        <v>500</v>
      </c>
      <c r="C7" s="32">
        <v>500</v>
      </c>
      <c r="D7" s="35" t="s">
        <v>162</v>
      </c>
    </row>
    <row r="8" spans="1:4" ht="26.25" x14ac:dyDescent="0.25">
      <c r="A8" s="34" t="s">
        <v>163</v>
      </c>
      <c r="B8" s="34">
        <v>750</v>
      </c>
      <c r="C8" s="32">
        <v>750</v>
      </c>
      <c r="D8" s="35" t="s">
        <v>164</v>
      </c>
    </row>
    <row r="9" spans="1:4" ht="26.25" x14ac:dyDescent="0.25">
      <c r="A9" s="34" t="s">
        <v>165</v>
      </c>
      <c r="B9" s="34">
        <v>250</v>
      </c>
      <c r="C9" s="32">
        <v>250</v>
      </c>
      <c r="D9" s="35" t="s">
        <v>166</v>
      </c>
    </row>
    <row r="10" spans="1:4" ht="26.25" x14ac:dyDescent="0.25">
      <c r="A10" s="34" t="s">
        <v>167</v>
      </c>
      <c r="B10" s="34">
        <v>250</v>
      </c>
      <c r="C10" s="32">
        <v>250</v>
      </c>
      <c r="D10" s="35" t="s">
        <v>166</v>
      </c>
    </row>
    <row r="11" spans="1:4" x14ac:dyDescent="0.25">
      <c r="A11" s="34" t="s">
        <v>168</v>
      </c>
      <c r="B11" s="34">
        <v>1000</v>
      </c>
      <c r="C11" s="32">
        <v>1000</v>
      </c>
      <c r="D11" s="35" t="s">
        <v>169</v>
      </c>
    </row>
    <row r="12" spans="1:4" ht="26.25" x14ac:dyDescent="0.25">
      <c r="A12" s="36" t="s">
        <v>170</v>
      </c>
      <c r="B12" s="34">
        <v>1300</v>
      </c>
      <c r="C12" s="32">
        <v>1300</v>
      </c>
      <c r="D12" s="35" t="s">
        <v>171</v>
      </c>
    </row>
    <row r="13" spans="1:4" x14ac:dyDescent="0.25">
      <c r="A13" s="32"/>
      <c r="B13" s="32"/>
      <c r="C13" s="32"/>
      <c r="D13" s="35"/>
    </row>
    <row r="14" spans="1:4" x14ac:dyDescent="0.25">
      <c r="A14" s="37"/>
      <c r="B14" s="37"/>
      <c r="C14" s="38">
        <f>SUM(C3:C13)</f>
        <v>22700</v>
      </c>
      <c r="D14" s="39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MDM Generel Targets template</vt:lpstr>
      <vt:lpstr>Focus pack targets</vt:lpstr>
      <vt:lpstr>Report template</vt:lpstr>
      <vt:lpstr>Secondary PBIS Suggested Templa</vt:lpstr>
      <vt:lpstr>Parameter (TN &amp; AP)</vt:lpstr>
      <vt:lpstr>Parameter_KN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2026-05-05T09:53:06Z</dcterms:modified>
</cp:coreProperties>
</file>